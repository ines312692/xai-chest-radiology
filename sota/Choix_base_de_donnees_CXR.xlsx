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aison" sheetId="1" state="visible" r:id="rId3"/>
    <sheet name="Grille de sélection" sheetId="2" state="visible" r:id="rId4"/>
    <sheet name="Décision" sheetId="3" state="visible" r:id="rId5"/>
    <sheet name="Pièges &amp; sources" sheetId="4" state="visible" r:id="rId6"/>
  </sheets>
  <definedNames>
    <definedName function="false" hidden="true" localSheetId="0" name="_xlnm._FilterDatabase" vbProcedure="false">Comparaison!$A$4:$Q$18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<sst xmlns="http://schemas.openxmlformats.org/spreadsheetml/2006/main" count="294" uniqueCount="268">
  <si>
    <t xml:space="preserve">Sélection de la base de données — projet XAI multimodal en radiologie thoracique (INES, M2 ISI)</t>
  </si>
  <si>
    <t xml:space="preserve">14 bases publiques de radiographie thoracique. Faits vérifiés le 24/08/2026 sur les pages officielles et les articles d'origine ; toute donnée non confirmée est signalée « non vérifié » dans la feuille Pièges &amp; sources. Le verdict de la dernière colonne découle de la grille pondérée de la feuille suivante.</t>
  </si>
  <si>
    <t xml:space="preserve">#</t>
  </si>
  <si>
    <t xml:space="preserve">Base de données</t>
  </si>
  <si>
    <t xml:space="preserve">Année</t>
  </si>
  <si>
    <t xml:space="preserve">Images</t>
  </si>
  <si>
    <t xml:space="preserve">Patients</t>
  </si>
  <si>
    <t xml:space="preserve">Origine des labels (et qualité annoncée)</t>
  </si>
  <si>
    <t xml:space="preserve">Classes</t>
  </si>
  <si>
    <t xml:space="preserve">Vérité-terrain de LOCALISATION</t>
  </si>
  <si>
    <t xml:space="preserve">Rapports appariés</t>
  </si>
  <si>
    <t xml:space="preserve">Accès</t>
  </si>
  <si>
    <t xml:space="preserve">Sur Kaggle</t>
  </si>
  <si>
    <t xml:space="preserve">Licence / restriction</t>
  </si>
  <si>
    <t xml:space="preserve">Format · résolution · taille</t>
  </si>
  <si>
    <t xml:space="preserve">Rôle possible dans NOTRE projet</t>
  </si>
  <si>
    <t xml:space="preserve">Limite principale</t>
  </si>
  <si>
    <t xml:space="preserve">Verdict</t>
  </si>
  <si>
    <t xml:space="preserve">URL officielle</t>
  </si>
  <si>
    <t xml:space="preserve">NIH ChestX-ray14</t>
  </si>
  <si>
    <t xml:space="preserve">NLP sur rapports non publiés (DNorm + MetaMap + règles de négation). Exactitude annoncée &gt; 90 %, sans validation radiologue à grande échelle.</t>
  </si>
  <si>
    <t xml:space="preserve">Bounding boxes — BBox_List_2017.csv : 984 boîtes sur 880 images, 8 pathologies (Atelectasis 180 … Nodule 79).</t>
  </si>
  <si>
    <t xml:space="preserve">Non</t>
  </si>
  <si>
    <t xml:space="preserve">Téléchargement libre, sans inscription (NIH Box).</t>
  </si>
  <si>
    <t xml:space="preserve">Oui (officiel)</t>
  </si>
  <si>
    <t xml:space="preserve">Aucune restriction d'usage. Citation du papier CVPR 2017 + crédit NIH Clinical Center obligatoires.</t>
  </si>
  <si>
    <t xml:space="preserve">PNG 1024×1024, niveaux de gris. ~45 Go.</t>
  </si>
  <si>
    <t xml:space="preserve">ENTRAÎNEMENT du classifieur dès aujourd'hui + RQ1 préliminaire sur les 880 images à boîtes, en attendant CheXpert.</t>
  </si>
  <si>
    <t xml:space="preserve">Espace de labels différent de CheXlocalize : seules 6 pathologies communes. Labels bruités (~1 sur 10 faux) → plafonne l'AUROC atteignable.</t>
  </si>
  <si>
    <t xml:space="preserve">RETENU — maintenant</t>
  </si>
  <si>
    <t xml:space="preserve">https://nihcc.app.box.com/v/ChestXray-NIHCC</t>
  </si>
  <si>
    <t xml:space="preserve">CheXpert</t>
  </si>
  <si>
    <t xml:space="preserve">CheXpert labeler (règles) sur rapports ; 3 états dont incertain (-1). Validation : 200 études par 3 radiologues ; test de 500 études, consensus de 5 radiologues.</t>
  </si>
  <si>
    <t xml:space="preserve">Aucune dans CheXpert même — elle est fournie par CheXlocalize (ligne 3).</t>
  </si>
  <si>
    <t xml:space="preserve">Non (oui dans CheXpert Plus, 2024)</t>
  </si>
  <si>
    <t xml:space="preserve">Formulaire Stanford AIMI + accord d'usage. Délai constaté ~1 semaine.</t>
  </si>
  <si>
    <t xml:space="preserve">Miroirs non officiels</t>
  </si>
  <si>
    <t xml:space="preserve">Stanford Research Use Agreement : recherche uniquement, redistribution interdite.</t>
  </si>
  <si>
    <t xml:space="preserve">JPG. Version small ~11 Go ; version pleine ~439 Go (chiffres de source tierce).</t>
  </si>
  <si>
    <t xml:space="preserve">ENTRAÎNEMENT définitif : même espace de labels que CheXlocalize, donc RQ1 sur les 10 pathologies sans remapping ni décalage de domaine.</t>
  </si>
  <si>
    <t xml:space="preserve">Délai d'accès administratif. Labels incertains à traiter explicitement (U-Ones / U-Zeros / U-Ignore) — c'est une ablation à faire.</t>
  </si>
  <si>
    <t xml:space="preserve">RETENU — dès accès</t>
  </si>
  <si>
    <t xml:space="preserve">https://stanfordmlgroup.github.io/competitions/chexpert/</t>
  </si>
  <si>
    <t xml:space="preserve">CheXlocalize</t>
  </si>
  <si>
    <t xml:space="preserve">Annotation manuelle par radiologues certifiés. Deux jeux distincts : vérité-terrain (2 radiologues) et benchmark humain (3 autres radiologues).</t>
  </si>
  <si>
    <t xml:space="preserve">MASQUES PIXEL + points les plus représentatifs, sur les 902 images (val 234 / test 668). Le seul ground truth fort et public sur CXR.</t>
  </si>
  <si>
    <t xml:space="preserve">Stanford AIMI / Redivis, inscription + accord.</t>
  </si>
  <si>
    <t xml:space="preserve">Miroir communautaire</t>
  </si>
  <si>
    <t xml:space="preserve">Stanford research use agreement (termes exacts non vérifiés). Code du benchmark : MIT.</t>
  </si>
  <si>
    <t xml:space="preserve">Masques en RLE dans des JSON ; images = celles de CheXpert.</t>
  </si>
  <si>
    <t xml:space="preserve">ÉVALUATION de RQ1. C'est LA référence : elle permet de se comparer directement à Saporta et al. (Nature Mach. Intell. 2022).</t>
  </si>
  <si>
    <t xml:space="preserve">Très petit (902 images) : sert à évaluer, jamais à entraîner. Nécessite l'accès CheXpert pour les images.</t>
  </si>
  <si>
    <t xml:space="preserve">RETENU — évaluation</t>
  </si>
  <si>
    <t xml:space="preserve">https://aimi.stanford.edu/datasets/chexlocalize</t>
  </si>
  <si>
    <t xml:space="preserve">IU-Xray (Open-i)</t>
  </si>
  <si>
    <t xml:space="preserve">Codage manuel par des codeurs entraînés : 101 codes MeSH + 76 RadLex sur les 2 470 rapports anormaux.</t>
  </si>
  <si>
    <t xml:space="preserve">MeSH/RadLex</t>
  </si>
  <si>
    <t xml:space="preserve">Aucune.</t>
  </si>
  <si>
    <t xml:space="preserve">OUI — Findings / Impression</t>
  </si>
  <si>
    <t xml:space="preserve">Téléchargement libre via Open-i.</t>
  </si>
  <si>
    <t xml:space="preserve">Miroir non officiel</t>
  </si>
  <si>
    <t xml:space="preserve">Aucune licence explicite trouvée (non vérifié). Traité en pratique comme open access NLM.</t>
  </si>
  <si>
    <t xml:space="preserve">PNG converti depuis DICOM ; ~14 Go pour la version redistribuée.</t>
  </si>
  <si>
    <t xml:space="preserve">GÉNÉRATION DE RAPPORTS (RQ2 à RQ4) et comparaison BLEU-4 / ROUGE-L avec la littérature.</t>
  </si>
  <si>
    <t xml:space="preserve">Inutilisable pour entraîner un classifieur : majorité de clichés normaux, pathologies rares, labels issus du texte. Splits différents selon les papiers.</t>
  </si>
  <si>
    <t xml:space="preserve">RETENU — M4+</t>
  </si>
  <si>
    <t xml:space="preserve">https://openi.nlm.nih.gov/</t>
  </si>
  <si>
    <t xml:space="preserve">VinDr-CXR</t>
  </si>
  <si>
    <t xml:space="preserve">n.c.</t>
  </si>
  <si>
    <t xml:space="preserve">Annotation manuelle par 17 radiologues (≥ 8 ans d'expérience). Train : 3 lecteurs par image. Test : consensus de 5.</t>
  </si>
  <si>
    <t xml:space="preserve">22 locales + 6 globales</t>
  </si>
  <si>
    <t xml:space="preserve">Bounding boxes pour les 22 anomalies locales, sur les 18 000 images. Annotations par lecteur conservées (utile pour la variabilité inter-observateur).</t>
  </si>
  <si>
    <t xml:space="preserve">PhysioNet credentialed (formation CITI + DUA). Version Kaggle : 14 classes fusionnées.</t>
  </si>
  <si>
    <t xml:space="preserve">Oui (version compétition)</t>
  </si>
  <si>
    <t xml:space="preserve">PhysioNet Credentialed Health Data License 1.5.0.</t>
  </si>
  <si>
    <t xml:space="preserve">DICOM natif (~2000-3000 px). ~200 Go.</t>
  </si>
  <si>
    <t xml:space="preserve">Alternative sérieuse si l'accès CheXpert échoue : localisation intégrée, qualité d'annotation supérieure à NIH.</t>
  </si>
  <si>
    <t xml:space="preserve">S'écarte de CheXlocalize : plus de comparaison directe avec Saporta et al. Volume DICOM lourd pour Kaggle.</t>
  </si>
  <si>
    <t xml:space="preserve">PLAN B</t>
  </si>
  <si>
    <t xml:space="preserve">https://physionet.org/content/vindr-cxr/1.0.0/</t>
  </si>
  <si>
    <t xml:space="preserve">MIMIC-CXR / -JPG</t>
  </si>
  <si>
    <t xml:space="preserve">CheXpert labeler ET NegBio sur les sections Findings/Impression. Les deux jeux de labels sont fournis.</t>
  </si>
  <si>
    <t xml:space="preserve">Aucune nativement (voir MS-CXR, Chest ImaGenome, CheXmask).</t>
  </si>
  <si>
    <t xml:space="preserve">OUI (dans MIMIC-CXR, pas dans la version JPG)</t>
  </si>
  <si>
    <t xml:space="preserve">PhysioNet credentialed : CITI + DUA. Délai plus long que CheXpert.</t>
  </si>
  <si>
    <t xml:space="preserve">Non (redistribution interdite)</t>
  </si>
  <si>
    <t xml:space="preserve">DICOM ~4,7 To ; JPG ~570 Go (tailles non vérifiées officiellement).</t>
  </si>
  <si>
    <t xml:space="preserve">Référence pour la génération de rapports à grande échelle — au-delà du périmètre d'un mémoire de 6 mois.</t>
  </si>
  <si>
    <t xml:space="preserve">Volume incompatible avec Kaggle (20 Go d'espace de travail). Credentialing long.</t>
  </si>
  <si>
    <t xml:space="preserve">Hors périmètre</t>
  </si>
  <si>
    <t xml:space="preserve">https://physionet.org/content/mimic-cxr/</t>
  </si>
  <si>
    <t xml:space="preserve">MS-CXR</t>
  </si>
  <si>
    <t xml:space="preserve">sous-ens. MIMIC</t>
  </si>
  <si>
    <t xml:space="preserve">Annotation manuelle par radiologues certifiés : ancrage phrase ↔ région (phrase grounding).</t>
  </si>
  <si>
    <t xml:space="preserve">Bounding boxes appariées à une PHRASE du rapport, sur 1 162 paires image-phrase.</t>
  </si>
  <si>
    <t xml:space="preserve">OUI — au niveau de la phrase</t>
  </si>
  <si>
    <t xml:space="preserve">PhysioNet credentialed + accès MIMIC-CXR requis.</t>
  </si>
  <si>
    <t xml:space="preserve">CSV + JSON format MS-COCO ; images depuis MIMIC-CXR.</t>
  </si>
  <si>
    <t xml:space="preserve">RQ2 idéal sur le fond : c'est exactement « le texte décrit-il la bonne région ? ». À garder en tête pour la discussion même sans y accéder.</t>
  </si>
  <si>
    <t xml:space="preserve">Double credentialing (MS-CXR + MIMIC-CXR). Petit volume. Hors calendrier de 6 mois.</t>
  </si>
  <si>
    <t xml:space="preserve">À citer</t>
  </si>
  <si>
    <t xml:space="preserve">https://physionet.org/content/ms-cxr/</t>
  </si>
  <si>
    <t xml:space="preserve">Chest ImaGenome</t>
  </si>
  <si>
    <t xml:space="preserve">Pipeline automatique : NLP à base de règles + détection par atlas. Précision 93,8 % / rappel 93,9 % au niveau rapport. Gold standard : 1 000 images validées à la main.</t>
  </si>
  <si>
    <t xml:space="preserve">graphes de scène</t>
  </si>
  <si>
    <t xml:space="preserve">Bounding boxes de 29 régions ANATOMIQUES par image (pas des lésions) + attributs → ancrage pathologie ↔ région.</t>
  </si>
  <si>
    <t xml:space="preserve">OUI (via MIMIC-CXR)</t>
  </si>
  <si>
    <t xml:space="preserve">PhysioNet credentialed + accès MIMIC-CXR.</t>
  </si>
  <si>
    <t xml:space="preserve">JSON + CSV. Images non incluses.</t>
  </si>
  <si>
    <t xml:space="preserve">Piste pour la contrainte anatomique : ancrer une carte d'attention à une région nommée plutôt qu'à un masque binaire.</t>
  </si>
  <si>
    <t xml:space="preserve">Dépend de MIMIC-CXR. Complexité de mise en œuvre élevée pour le gain attendu.</t>
  </si>
  <si>
    <t xml:space="preserve">https://physionet.org/content/chest-imagenome/1.0.0/</t>
  </si>
  <si>
    <t xml:space="preserve">RSNA Pneumonia (Kaggle)</t>
  </si>
  <si>
    <t xml:space="preserve">sous-ens. NIH</t>
  </si>
  <si>
    <t xml:space="preserve">Ré-annotation par des radiologues RSNA ; test adjugé par un panel de la Society of Thoracic Radiology (intersection des boîtes).</t>
  </si>
  <si>
    <t xml:space="preserve">Bounding boxes sur les 5 659 images « Lung Opacity » du train, 1 à 4 boîtes par image.</t>
  </si>
  <si>
    <t xml:space="preserve">Kaggle, libre (acceptation des règles).</t>
  </si>
  <si>
    <t xml:space="preserve">Oui</t>
  </si>
  <si>
    <t xml:space="preserve">Conditions RSNA : usage recherche et enseignement autorisé, attribution obligatoire. Pas de licence CC formelle.</t>
  </si>
  <si>
    <t xml:space="preserve">DICOM 1024×1024, 8 bits. ~3,3 Go.</t>
  </si>
  <si>
    <t xml:space="preserve">Vérité-terrain de localisation de bonne qualité, immédiatement accessible — mais sur UNE seule entité (opacité pneumonique).</t>
  </si>
  <si>
    <t xml:space="preserve">Une seule pathologie : trop étroit pour un benchmark comparatif de 7 méthodes CAM sur 6 à 10 classes.</t>
  </si>
  <si>
    <t xml:space="preserve">Complément</t>
  </si>
  <si>
    <t xml:space="preserve">https://www.kaggle.com/c/rsna-pneumonia-detection-challenge</t>
  </si>
  <si>
    <t xml:space="preserve">SIIM-ACR Pneumothorax</t>
  </si>
  <si>
    <t xml:space="preserve">Contours tracés manuellement par des radiologues.</t>
  </si>
  <si>
    <t xml:space="preserve">MASQUES PIXEL (RLE) — 12 954 masques ; ~22 % du train est positif.</t>
  </si>
  <si>
    <t xml:space="preserve">Kaggle, libre. Compétition archivée : passe par les miroirs.</t>
  </si>
  <si>
    <t xml:space="preserve">Oui (miroirs)</t>
  </si>
  <si>
    <t xml:space="preserve">Licence custom Kaggle/SIIM, usage recherche et commercial autorisé (texte non re-vérifié).</t>
  </si>
  <si>
    <t xml:space="preserve">DICOM 1024×1024. ~2,1 Go.</t>
  </si>
  <si>
    <t xml:space="preserve">Le seul masque pixel de LÉSION accessible sans démarche. Utile pour valider la chaîne CAM → masque sur une pathologie.</t>
  </si>
  <si>
    <t xml:space="preserve">Une seule pathologie. Le pneumothorax est un cas atypique pour les CAM (signe fin, périphérique).</t>
  </si>
  <si>
    <t xml:space="preserve">https://www.kaggle.com/competitions/siim-acr-pneumothorax-segmentation</t>
  </si>
  <si>
    <t xml:space="preserve">Montgomery + Shenzhen</t>
  </si>
  <si>
    <t xml:space="preserve">Lecture radiologique clinique (diagnostic de tuberculose confirmé).</t>
  </si>
  <si>
    <t xml:space="preserve">Masques PULMONAIRES manuels sur les 138 images de Montgomery uniquement. Les 566 masques Shenzhen sont communautaires (Stirenko 2018), pas officiels NLM.</t>
  </si>
  <si>
    <t xml:space="preserve">Téléchargement NLM / Open-i.</t>
  </si>
  <si>
    <t xml:space="preserve">Pas de licence CC. Les auteurs demandent de ne pas diffuser hors de son groupe de recherche.</t>
  </si>
  <si>
    <t xml:space="preserve">PNG haute résolution (Montgomery jusqu'à 4892 px).</t>
  </si>
  <si>
    <t xml:space="preserve">Entraîner le U-Net pulmonaire de la CONTRAINTE ANATOMIQUE (notre contribution originale).</t>
  </si>
  <si>
    <t xml:space="preserve">Petit volume et population tuberculose : le U-Net doit être vérifié sur nos images avant usage.</t>
  </si>
  <si>
    <t xml:space="preserve">RETENU — contrainte</t>
  </si>
  <si>
    <t xml:space="preserve">https://lhncbc.nlm.nih.gov/LHC-publications/pubs/TuberculosisChestXrayImageDataSets.html</t>
  </si>
  <si>
    <t xml:space="preserve">JSRT + masques SCR</t>
  </si>
  <si>
    <t xml:space="preserve">Annotation radiologique manuelle : statut nodule, malignité, coordonnées, difficulté de détection sur 5 niveaux.</t>
  </si>
  <si>
    <t xml:space="preserve">Masques pixel pour 3 structures (champs pulmonaires, cœur, clavicules) sur les 247 images. Référence historique de la segmentation anatomique CXR.</t>
  </si>
  <si>
    <t xml:space="preserve">Gratuit, inscription JSRT requise (mot de passe expirant).</t>
  </si>
  <si>
    <t xml:space="preserve">SCR : recherche et enseignement uniquement, redistribution et usage commercial interdits.</t>
  </si>
  <si>
    <t xml:space="preserve">Raw 2048×2048, 12 bits (format sans en-tête).</t>
  </si>
  <si>
    <t xml:space="preserve">Complète Montgomery pour le U-Net pulmonaire ; ajoute le cœur, utile si la contrainte doit inclure le médiastin.</t>
  </si>
  <si>
    <t xml:space="preserve">Format raw à décoder à la main. Très petit volume.</t>
  </si>
  <si>
    <t xml:space="preserve">http://db.jsrt.or.jp/eng.php</t>
  </si>
  <si>
    <t xml:space="preserve">CheXmask</t>
  </si>
  <si>
    <t xml:space="preserve">5 datasets</t>
  </si>
  <si>
    <t xml:space="preserve">Génération AUTOMATIQUE (HybridGNet) + contrôle qualité par Reverse Classification Accuracy. 250 images gold standard validées par des experts.</t>
  </si>
  <si>
    <t xml:space="preserve">3 structures</t>
  </si>
  <si>
    <t xml:space="preserve">Masques pixel poumons gauche/droit + cœur, sur 657 566 images — dont les 112 120 de NIH et les 187 825 de CheXpert.</t>
  </si>
  <si>
    <t xml:space="preserve">PhysioNet OUVERT, sans credentialing.</t>
  </si>
  <si>
    <t xml:space="preserve">CC BY 4.0 — la plus permissive de toute cette liste.</t>
  </si>
  <si>
    <t xml:space="preserve">CSV avec masques en RLE. 37,3 Go. Images non incluses.</t>
  </si>
  <si>
    <t xml:space="preserve">RACCOURCI MAJEUR pour la contrainte anatomique : les masques de NOS images NIH existent déjà. Plus besoin d'entraîner un U-Net.</t>
  </si>
  <si>
    <t xml:space="preserve">Masques générés automatiquement : filtrer sur RCA-DSC ≥ 0,7 comme le recommandent les auteurs, et le dire dans le papier.</t>
  </si>
  <si>
    <t xml:space="preserve">RETENU — priorité</t>
  </si>
  <si>
    <t xml:space="preserve">https://physionet.org/content/chexmask-cxr-segmentation-data/</t>
  </si>
  <si>
    <t xml:space="preserve">PadChest</t>
  </si>
  <si>
    <t xml:space="preserve">27 % annotés manuellement par des médecins ; 73 % par un RNN à attention (micro-F1 0,93 sur 500 phrases vérifiées).</t>
  </si>
  <si>
    <t xml:space="preserve">174 findings</t>
  </si>
  <si>
    <t xml:space="preserve">Aucune boîte ni masque — seulement 104 localisations anatomiques TEXTUELLES associées aux findings.</t>
  </si>
  <si>
    <t xml:space="preserve">OUI — en espagnol</t>
  </si>
  <si>
    <t xml:space="preserve">Gratuit pour la recherche, sur demande formelle (accord BIMCV).</t>
  </si>
  <si>
    <t xml:space="preserve">Échantillon seulement</t>
  </si>
  <si>
    <t xml:space="preserve">BIMCV Research Use Agreement, redistribution interdite.</t>
  </si>
  <si>
    <t xml:space="preserve">DICOM natif. ~1,02 To.</t>
  </si>
  <si>
    <t xml:space="preserve">Aucun rôle direct. À citer pour la diversité géographique des jeux de données.</t>
  </si>
  <si>
    <t xml:space="preserve">Rapports en espagnol, volume d'un téraoctet, pas de localisation. Hors sujet pour ce mémoire.</t>
  </si>
  <si>
    <t xml:space="preserve">Écarté</t>
  </si>
  <si>
    <t xml:space="preserve">https://bimcv.cipf.es/bimcv-projects/padchest/</t>
  </si>
  <si>
    <t xml:space="preserve">Grille de sélection pondérée</t>
  </si>
  <si>
    <t xml:space="preserve">Notes de 0 à 5, attribuées par l'étudiant à partir des faits vérifiés de la feuille Comparaison — ce sont des JUGEMENTS, pas des mesures : modifie-les si tu n'es pas d'accord, le total se recalcule. Les pondérations (colonne B) traduisent les priorités du projet : la localisation pèse le plus lourd car RQ1 en dépend entièrement.</t>
  </si>
  <si>
    <t xml:space="preserve">Critère</t>
  </si>
  <si>
    <t xml:space="preserve">Poids</t>
  </si>
  <si>
    <t xml:space="preserve">CheXpert + CheXlocalize</t>
  </si>
  <si>
    <t xml:space="preserve">MIMIC-CXR</t>
  </si>
  <si>
    <t xml:space="preserve">IU-Xray</t>
  </si>
  <si>
    <t xml:space="preserve">Disponibilité immédiate</t>
  </si>
  <si>
    <t xml:space="preserve">Puis-je commencer aujourd'hui ? 5 = libre et déjà sur Kaggle, 0 = credentialing long.</t>
  </si>
  <si>
    <t xml:space="preserve">Volume pour entraîner</t>
  </si>
  <si>
    <t xml:space="preserve">Assez d'images et de patients pour un classifieur solide. 5 = &gt; 100 000 images.</t>
  </si>
  <si>
    <t xml:space="preserve">Qualité des labels</t>
  </si>
  <si>
    <t xml:space="preserve">5 = annotation radiologue ; 3 = NLP validé ; 1 = NLP non validé.</t>
  </si>
  <si>
    <t xml:space="preserve">Vérité-terrain de localisation</t>
  </si>
  <si>
    <t xml:space="preserve">Le cœur de RQ1. 5 = masques pixel multi-pathologies ; 3 = boîtes ; 0 = aucune.</t>
  </si>
  <si>
    <t xml:space="preserve">Comparabilité avec la SOTA</t>
  </si>
  <si>
    <t xml:space="preserve">Puis-je confronter mes chiffres aux papiers publiés, sur le même jeu et le même split ?</t>
  </si>
  <si>
    <t xml:space="preserve">Rapports appariés (RQ2-RQ4)</t>
  </si>
  <si>
    <t xml:space="preserve">Nécessaire à la génération de rapports et à l'analyse de fidélité.</t>
  </si>
  <si>
    <t xml:space="preserve">TOTAL pondéré (sur 5)</t>
  </si>
  <si>
    <t xml:space="preserve">Rang</t>
  </si>
  <si>
    <t xml:space="preserve">Lecture : « CheXpert + CheXlocalize » gagne, mais son 2/5 en disponibilité immédiate correspond à une semaine d'attente administrative. NIH obtient le meilleur score de disponibilité. D'où la décision retenue : les DEUX, en séquence — voir la feuille Décision. Aucune base seule ne couvre les quatre questions de recherche : c'est un résultat de l'analyse, pas un compromis.</t>
  </si>
  <si>
    <t xml:space="preserve">Décision : quatre bases, quatre rôles</t>
  </si>
  <si>
    <t xml:space="preserve">PRINCIPE</t>
  </si>
  <si>
    <t xml:space="preserve">Aucune base publique ne réunit un grand volume, des labels fiables, une vérité-terrain de localisation au pixel ET des rapports appariés. Chercher LA bonne base est donc une impasse. On en assemble quatre, chacune pour ce qu'elle sait faire, et on l'écrit ainsi dans la section Données du mémoire.</t>
  </si>
  <si>
    <t xml:space="preserve">1. Entraîner</t>
  </si>
  <si>
    <t xml:space="preserve">NIH maintenant : 112 120 images déjà montées sur Kaggle, aucun délai. CheXpert dès réception de l'accès : même espace de labels que CheXlocalize, donc RQ1 passe de 6 à 10 pathologies sans remapping. La demande Stanford se fait AUJOURD'HUI — c'est le seul délai que tu ne contrôles pas.</t>
  </si>
  <si>
    <t xml:space="preserve">NIH ChestX-ray14 → CheXpert</t>
  </si>
  <si>
    <t xml:space="preserve">2. Évaluer la localisation</t>
  </si>
  <si>
    <t xml:space="preserve">902 images annotées au pixel par des radiologues, avec en prime un benchmark humain. C'est la seule référence qui permet de dire « ma méthode est à X % du radiologue » et de se comparer ligne à ligne à Saporta et al. En attendant l'accès : les 880 images à boîtes de NIH permettent de faire tourner tout le protocole RQ1 dès cette semaine.</t>
  </si>
  <si>
    <t xml:space="preserve">CheXlocalize (+ NIH BBox en attendant)</t>
  </si>
  <si>
    <t xml:space="preserve">3. Contrainte anatomique</t>
  </si>
  <si>
    <t xml:space="preserve">CheXmask fournit déjà les masques poumons+cœur des 112 120 images NIH et des 187 825 de CheXpert, en accès ouvert et sous CC BY 4.0. C'est un raccourci majeur : plus besoin d'entraîner un U-Net. Contrainte des auteurs à respecter et à citer : ne garder que les masques dont le score RCA-DSC dépasse 0,7.</t>
  </si>
  <si>
    <t xml:space="preserve">CheXmask (+ Montgomery / JSRT en repli)</t>
  </si>
  <si>
    <t xml:space="preserve">4. Rapports</t>
  </si>
  <si>
    <t xml:space="preserve">3 955 rapports appariés, accès libre, et c'est le benchmark sur lequel la littérature publie ses BLEU-4 — donc le seul endroit où tes chiffres de RQ4 seront comparables. Attention : les papiers utilisent des splits différents (7:1:2 vs officiel). Documente le tien explicitement, sinon la comparaison est fausse.</t>
  </si>
  <si>
    <t xml:space="preserve">CE QUI EST ÉCARTÉ</t>
  </si>
  <si>
    <t xml:space="preserve">MIMIC-CXR : 4,7 To et un credentialing long, incompatible avec les 20 Go d'espace de travail Kaggle et un calendrier de 6 mois. PadChest : 1 To, rapports en espagnol, aucune localisation. Les deux sont cités dans l'état de l'art, aucun n'est utilisé. Écarter explicitement, avec le motif, vaut mieux que de ne pas en parler.</t>
  </si>
  <si>
    <t xml:space="preserve">MIMIC-CXR, PadChest</t>
  </si>
  <si>
    <t xml:space="preserve">À ÉCRIRE DANS LE MÉMOIRE</t>
  </si>
  <si>
    <t xml:space="preserve">« Aucun jeu de données public ne réunit simultanément un volume d'entraînement suffisant, des annotations de localisation au pixel et des rapports appariés. Nous adoptons donc une stratégie multi-sources : NIH ChestX-ray14 puis CheXpert pour l'entraînement, CheXlocalize pour l'évaluation de la localisation, CheXmask pour la contrainte anatomique, IU-Xray pour la génération de rapports. » — Cette phrase, appuyée sur le tableau ci-joint, répond par avance à la première question du jury.</t>
  </si>
  <si>
    <t xml:space="preserve">LIMITES À ASSUMER</t>
  </si>
  <si>
    <t xml:space="preserve">1. Les labels NIH viennent d'un extracteur de texte non validé à grande échelle : environ une étiquette sur dix est fausse, ce qui plafonne mécaniquement l'AUROC atteignable. 2. Tant qu'on est sur NIH, RQ1 ne porte que sur 6 pathologies. 3. Les masques CheXmask sont générés automatiquement, pas tracés par un radiologue. Ces trois limites se citent d'entrée de jeu : un relecteur qui les trouve avant toi doute de tout le reste.</t>
  </si>
  <si>
    <t xml:space="preserve">Pièges vérifiés et points non confirmés</t>
  </si>
  <si>
    <t xml:space="preserve">Concerne</t>
  </si>
  <si>
    <t xml:space="preserve">Le piège</t>
  </si>
  <si>
    <t xml:space="preserve">Conséquence si ignoré</t>
  </si>
  <si>
    <t xml:space="preserve">NIH — BBox_List_2017</t>
  </si>
  <si>
    <t xml:space="preserve">Le papier CVPR 2017 annonce 983 images et ~1 600 boîtes. Le fichier réellement distribué contient 984 boîtes sur 880 images uniques, très inégalement réparties (Atelectasis 180 … Nodule 79). Vérifié par comptage direct du CSV.</t>
  </si>
  <si>
    <t xml:space="preserve">Un chiffre faux dans le mémoire, repris du papier au lieu du fichier. Cite le fichier.</t>
  </si>
  <si>
    <t xml:space="preserve">NIH — nom de classe</t>
  </si>
  <si>
    <t xml:space="preserve">Dans BBox_List_2017.csv la classe s'appelle « Infiltrate », alors que Data_Entry_2017.csv dit « Infiltration ».</t>
  </si>
  <si>
    <t xml:space="preserve">La jointure entre les deux fichiers perd silencieusement 123 boîtes.</t>
  </si>
  <si>
    <t xml:space="preserve">NIH — images RGBA</t>
  </si>
  <si>
    <t xml:space="preserve">Certains PNG ont 4 canaux au lieu d'être en niveaux de gris.</t>
  </si>
  <si>
    <t xml:space="preserve">Le DataLoader plante en pleine époque. Parade : .convert('L') systématique.</t>
  </si>
  <si>
    <t xml:space="preserve">NIH — vue AP/PA</t>
  </si>
  <si>
    <t xml:space="preserve">Les clichés AP sont pris au lit, chez des patients plus malades. Le taux de pathologie diffère fortement entre AP et PA.</t>
  </si>
  <si>
    <t xml:space="preserve">Le modèle apprend la position du patient, pas la pathologie — et la carte d'attention localise ce confondant.</t>
  </si>
  <si>
    <t xml:space="preserve">NIH — âges</t>
  </si>
  <si>
    <t xml:space="preserve">La colonne Patient Age contient des valeurs aberrantes (jusqu'à 411 ans).</t>
  </si>
  <si>
    <t xml:space="preserve">Indice que les métadonnées sont générées automatiquement. Ne pas utiliser l'âge comme variable.</t>
  </si>
  <si>
    <t xml:space="preserve">Tous — split</t>
  </si>
  <si>
    <t xml:space="preserve">Un patient a en moyenne 3,6 clichés dans NIH, jusqu'à plus de 100.</t>
  </si>
  <si>
    <t xml:space="preserve">Un split par image met le même patient dans train et test : l'AUROC monte et le résultat ne vaut rien.</t>
  </si>
  <si>
    <t xml:space="preserve">CheXpert — incertains</t>
  </si>
  <si>
    <t xml:space="preserve">Les labels ont trois états, dont incertain (-1).</t>
  </si>
  <si>
    <t xml:space="preserve">Traiter les -1 comme des 0 sans le dire fausse la comparaison. C'est une ablation (U-Ones / U-Zeros / U-Ignore).</t>
  </si>
  <si>
    <t xml:space="preserve">CheXlocalize — RLE</t>
  </si>
  <si>
    <t xml:space="preserve">Les masques sont en RLE format COCO, colonne-major.</t>
  </si>
  <si>
    <t xml:space="preserve">Un décodage transposé donne des masques plausibles mais pivotés de 90°. Tous les mIoU deviennent faux sans aucune erreur visible.</t>
  </si>
  <si>
    <t xml:space="preserve">CheXmask — qualité</t>
  </si>
  <si>
    <t xml:space="preserve">Masques générés automatiquement ; les auteurs recommandent de filtrer sur RCA-DSC moyen ≥ 0,7.</t>
  </si>
  <si>
    <t xml:space="preserve">Utiliser les masques bruts introduit une contrainte anatomique fausse sur une partie des images.</t>
  </si>
  <si>
    <t xml:space="preserve">IU-Xray — split</t>
  </si>
  <si>
    <t xml:space="preserve">Les papiers publiés utilisent des splits différents (7:1:2 vs officiel).</t>
  </si>
  <si>
    <t xml:space="preserve">Comparer un BLEU-4 à travers deux splits différents n'a aucun sens. Documente le tien.</t>
  </si>
  <si>
    <t xml:space="preserve">Shenzhen — masques</t>
  </si>
  <si>
    <t xml:space="preserve">Les 566 masques pulmonaires largement utilisés viennent de Stirenko et al. 2018, pas de la NLM.</t>
  </si>
  <si>
    <t xml:space="preserve">Citer la NLM comme source des masques est une erreur d'attribution.</t>
  </si>
  <si>
    <t xml:space="preserve">NON VÉRIFIÉ — à ne pas citer en l'état</t>
  </si>
  <si>
    <t xml:space="preserve">• CheXpert : tailles 11 Go (small) / 439 Go (complet) — chiffres de source tierce, aucune page Stanford officielle lisible.</t>
  </si>
  <si>
    <t xml:space="preserve">• CheXpert-v1.0-small : résolution exacte (souvent citée ~320 px sur le petit côté) — non confirmée.</t>
  </si>
  <si>
    <t xml:space="preserve">• CheXlocalize : termes exacts de la licence des données — page Redivis non lisible.</t>
  </si>
  <si>
    <t xml:space="preserve">• IU-Xray : licence explicite et résolution native — aucune licence formelle trouvée sur Open-i.</t>
  </si>
  <si>
    <t xml:space="preserve">• MS-CXR : nombre total de boîtes (seul le chiffre de 1 162 paires image-phrase est confirmé).</t>
  </si>
  <si>
    <t xml:space="preserve">• MIMIC-CXR : tailles 4,7 To / 570 Go — usage courant, non confirmé sur PhysioNet.</t>
  </si>
  <si>
    <t xml:space="preserve">• RSNA : la licence « CC BY-NC-SA » souvent citée est CONTREDITE par les conditions officielles RSNA.</t>
  </si>
  <si>
    <t xml:space="preserve">• SIIM-ACR : texte exact de la licence sur la page Kaggle (rendue en JavaScript).</t>
  </si>
  <si>
    <t xml:space="preserve">Méthode : faits collectés le 24 août 2026 à partir des pages officielles (NIH Box, Stanford AIMI, PhysioNet, Open-i, NLM, JSRT) et des articles d'origine (CVPR 2017, AAAI 2019, Nature Mach. Intell. 2022, Scientific Data 2019/2022/2024, Medical Image Analysis 2020, JAMIA 2016). Une source tierce n'est utilisée que si aucune source officielle n'est accessible, et elle est alors signalée comme non vérifiée.</t>
  </si>
</sst>
</file>

<file path=xl/styles.xml><?xml version="1.0" encoding="utf-8"?>
<styleSheet xmlns="http://schemas.openxmlformats.org/spreadsheetml/2006/main">
  <numFmts count="5">
    <numFmt numFmtId="164" formatCode="General"/>
    <numFmt numFmtId="165" formatCode="#,##0"/>
    <numFmt numFmtId="166" formatCode="0\ %"/>
    <numFmt numFmtId="167" formatCode="0.00"/>
    <numFmt numFmtId="168" formatCode="General"/>
  </numFmts>
  <fonts count="1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3D4B57"/>
      <name val="Arial"/>
      <family val="0"/>
      <charset val="1"/>
    </font>
    <font>
      <b val="true"/>
      <sz val="9"/>
      <color rgb="FFFFFFFF"/>
      <name val="Arial"/>
      <family val="0"/>
      <charset val="1"/>
    </font>
    <font>
      <sz val="9"/>
      <color rgb="FF1F2937"/>
      <name val="Arial"/>
      <family val="0"/>
      <charset val="1"/>
    </font>
    <font>
      <b val="true"/>
      <sz val="9"/>
      <color rgb="FF1F2937"/>
      <name val="Arial"/>
      <family val="0"/>
      <charset val="1"/>
    </font>
    <font>
      <b val="true"/>
      <sz val="8"/>
      <color rgb="FF1F2937"/>
      <name val="Arial"/>
      <family val="0"/>
      <charset val="1"/>
    </font>
    <font>
      <b val="true"/>
      <sz val="9"/>
      <color rgb="FF0000FF"/>
      <name val="Arial"/>
      <family val="0"/>
      <charset val="1"/>
    </font>
    <font>
      <sz val="10"/>
      <color rgb="FF0000FF"/>
      <name val="Arial"/>
      <family val="0"/>
      <charset val="1"/>
    </font>
    <font>
      <i val="true"/>
      <sz val="8"/>
      <color rgb="FF697985"/>
      <name val="Arial"/>
      <family val="0"/>
      <charset val="1"/>
    </font>
    <font>
      <b val="true"/>
      <sz val="11"/>
      <color rgb="FFFFFFFF"/>
      <name val="Arial"/>
      <family val="0"/>
      <charset val="1"/>
    </font>
    <font>
      <b val="true"/>
      <sz val="10"/>
      <color rgb="FF1F2937"/>
      <name val="Arial"/>
      <family val="0"/>
      <charset val="1"/>
    </font>
    <font>
      <b val="true"/>
      <sz val="10"/>
      <color rgb="FF0C6E77"/>
      <name val="Arial"/>
      <family val="0"/>
      <charset val="1"/>
    </font>
    <font>
      <sz val="9"/>
      <color rgb="FFA93D28"/>
      <name val="Arial"/>
      <family val="0"/>
      <charset val="1"/>
    </font>
    <font>
      <b val="true"/>
      <sz val="10"/>
      <color rgb="FFFFFFFF"/>
      <name val="Arial"/>
      <family val="0"/>
      <charset val="1"/>
    </font>
    <font>
      <sz val="9"/>
      <color rgb="FF3D4B57"/>
      <name val="Arial"/>
      <family val="0"/>
      <charset val="1"/>
    </font>
  </fonts>
  <fills count="10">
    <fill>
      <patternFill patternType="none"/>
    </fill>
    <fill>
      <patternFill patternType="gray125"/>
    </fill>
    <fill>
      <patternFill patternType="solid">
        <fgColor rgb="FF0C6E77"/>
        <bgColor rgb="FF008080"/>
      </patternFill>
    </fill>
    <fill>
      <patternFill patternType="solid">
        <fgColor rgb="FFE0EFF0"/>
        <bgColor rgb="FFD9F0DC"/>
      </patternFill>
    </fill>
    <fill>
      <patternFill patternType="solid">
        <fgColor rgb="FFD9F0DC"/>
        <bgColor rgb="FFE0EFF0"/>
      </patternFill>
    </fill>
    <fill>
      <patternFill patternType="solid">
        <fgColor rgb="FFFFF4E0"/>
        <bgColor rgb="FFFFF9DB"/>
      </patternFill>
    </fill>
    <fill>
      <patternFill patternType="solid">
        <fgColor rgb="FFF5F5F5"/>
        <bgColor rgb="FFFFF4E0"/>
      </patternFill>
    </fill>
    <fill>
      <patternFill patternType="solid">
        <fgColor rgb="FFFFF9DB"/>
        <bgColor rgb="FFFFF4E0"/>
      </patternFill>
    </fill>
    <fill>
      <patternFill patternType="solid">
        <fgColor rgb="FFB4C0C7"/>
        <bgColor rgb="FFC9D2D8"/>
      </patternFill>
    </fill>
    <fill>
      <patternFill patternType="solid">
        <fgColor rgb="FFA93D28"/>
        <bgColor rgb="FF993366"/>
      </patternFill>
    </fill>
  </fills>
  <borders count="2">
    <border diagonalUp="false" diagonalDown="false">
      <left/>
      <right/>
      <top/>
      <bottom/>
      <diagonal/>
    </border>
    <border diagonalUp="false" diagonalDown="false">
      <left style="thin">
        <color rgb="FFC9D2D8"/>
      </left>
      <right style="thin">
        <color rgb="FFC9D2D8"/>
      </right>
      <top style="thin">
        <color rgb="FFC9D2D8"/>
      </top>
      <bottom style="thin">
        <color rgb="FFC9D2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true" indent="1"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5" fillId="7" borderId="0" xfId="0" applyFont="true" applyBorder="true" applyAlignment="true" applyProtection="false">
      <alignment horizontal="left" vertical="center" textRotation="0" wrapText="true" indent="1"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3" fillId="2" borderId="1" xfId="0" applyFont="true" applyBorder="true" applyAlignment="true" applyProtection="false">
      <alignment horizontal="left" vertical="center" textRotation="0" wrapText="false" indent="1" shrinkToFit="false"/>
      <protection locked="true" hidden="false"/>
    </xf>
    <xf numFmtId="166" fontId="13" fillId="2" borderId="1" xfId="0" applyFont="true" applyBorder="true" applyAlignment="true" applyProtection="false">
      <alignment horizontal="center" vertical="center" textRotation="0" wrapText="false" indent="0" shrinkToFit="false"/>
      <protection locked="true" hidden="false"/>
    </xf>
    <xf numFmtId="167" fontId="13" fillId="2"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14" fillId="0" borderId="1" xfId="0" applyFont="true" applyBorder="true" applyAlignment="true" applyProtection="false">
      <alignment horizontal="center" vertical="bottom" textRotation="0" wrapText="false" indent="0" shrinkToFit="false"/>
      <protection locked="true" hidden="false"/>
    </xf>
    <xf numFmtId="164" fontId="7" fillId="7" borderId="0" xfId="0" applyFont="true" applyBorder="true" applyAlignment="true" applyProtection="false">
      <alignment horizontal="left" vertical="center" textRotation="0" wrapText="true" indent="1" shrinkToFit="false"/>
      <protection locked="true" hidden="false"/>
    </xf>
    <xf numFmtId="164" fontId="0" fillId="8" borderId="0"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9" borderId="0" xfId="0" applyFont="true" applyBorder="true" applyAlignment="true" applyProtection="false">
      <alignment horizontal="left" vertical="center" textRotation="0" wrapText="false" indent="1" shrinkToFit="false"/>
      <protection locked="true" hidden="false"/>
    </xf>
    <xf numFmtId="164" fontId="18" fillId="0" borderId="0" xfId="0" applyFont="true" applyBorder="true" applyAlignment="true" applyProtection="false">
      <alignment horizontal="general" vertical="center" textRotation="0" wrapText="tru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C6E77"/>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D9F0DC"/>
          <bgColor rgb="FF000000"/>
        </patternFill>
      </fill>
    </dxf>
    <dxf>
      <fill>
        <patternFill patternType="solid">
          <fgColor rgb="FFF5F5F5"/>
          <bgColor rgb="FF000000"/>
        </patternFill>
      </fill>
    </dxf>
    <dxf>
      <fill>
        <patternFill patternType="solid">
          <fgColor rgb="FFFFF4E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C6E77"/>
      <rgbColor rgb="FFB4C0C7"/>
      <rgbColor rgb="FF697985"/>
      <rgbColor rgb="FF9999FF"/>
      <rgbColor rgb="FF993366"/>
      <rgbColor rgb="FFFFF9DB"/>
      <rgbColor rgb="FFE0EFF0"/>
      <rgbColor rgb="FF660066"/>
      <rgbColor rgb="FFFF8080"/>
      <rgbColor rgb="FF0066CC"/>
      <rgbColor rgb="FFC9D2D8"/>
      <rgbColor rgb="FF000080"/>
      <rgbColor rgb="FFFF00FF"/>
      <rgbColor rgb="FFFFFF00"/>
      <rgbColor rgb="FF00FFFF"/>
      <rgbColor rgb="FF800080"/>
      <rgbColor rgb="FF800000"/>
      <rgbColor rgb="FF008080"/>
      <rgbColor rgb="FF0000FF"/>
      <rgbColor rgb="FF00CCFF"/>
      <rgbColor rgb="FFF5F5F5"/>
      <rgbColor rgb="FFD9F0DC"/>
      <rgbColor rgb="FFFFF4E0"/>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A93D28"/>
      <rgbColor rgb="FF993366"/>
      <rgbColor rgb="FF3D4B57"/>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7"/>
    <col collapsed="false" customWidth="true" hidden="false" outlineLevel="0" max="5" min="4" style="0" width="11"/>
    <col collapsed="false" customWidth="true" hidden="false" outlineLevel="0" max="6" min="6" style="0" width="42"/>
    <col collapsed="false" customWidth="true" hidden="false" outlineLevel="0" max="7" min="7" style="0" width="9"/>
    <col collapsed="false" customWidth="true" hidden="false" outlineLevel="0" max="8" min="8" style="0" width="40"/>
    <col collapsed="false" customWidth="true" hidden="false" outlineLevel="0" max="9" min="9" style="0" width="16"/>
    <col collapsed="false" customWidth="true" hidden="false" outlineLevel="0" max="10" min="10" style="0" width="30"/>
    <col collapsed="false" customWidth="true" hidden="false" outlineLevel="0" max="11" min="11" style="0" width="12"/>
    <col collapsed="false" customWidth="true" hidden="false" outlineLevel="0" max="12" min="12" style="0" width="34"/>
    <col collapsed="false" customWidth="true" hidden="false" outlineLevel="0" max="13" min="13" style="0" width="30"/>
    <col collapsed="false" customWidth="true" hidden="false" outlineLevel="0" max="14" min="14" style="0" width="46"/>
    <col collapsed="false" customWidth="true" hidden="false" outlineLevel="0" max="15" min="15" style="0" width="44"/>
    <col collapsed="false" customWidth="true" hidden="false" outlineLevel="0" max="16" min="16" style="0" width="15"/>
    <col collapsed="false" customWidth="true" hidden="false" outlineLevel="0" max="17" min="17" style="0" width="52"/>
  </cols>
  <sheetData>
    <row r="1" customFormat="false" ht="25.5" hidden="false" customHeight="true" outlineLevel="0" collapsed="false">
      <c r="A1" s="1" t="s">
        <v>0</v>
      </c>
      <c r="B1" s="1"/>
      <c r="C1" s="1"/>
      <c r="D1" s="1"/>
      <c r="E1" s="1"/>
      <c r="F1" s="1"/>
      <c r="G1" s="1"/>
      <c r="H1" s="1"/>
      <c r="I1" s="1"/>
      <c r="J1" s="1"/>
      <c r="K1" s="1"/>
      <c r="L1" s="1"/>
      <c r="M1" s="1"/>
      <c r="N1" s="1"/>
      <c r="O1" s="1"/>
      <c r="P1" s="1"/>
      <c r="Q1" s="1"/>
    </row>
    <row r="2" customFormat="false" ht="30" hidden="false" customHeight="true" outlineLevel="0" collapsed="false">
      <c r="A2" s="2" t="s">
        <v>1</v>
      </c>
      <c r="B2" s="2"/>
      <c r="C2" s="2"/>
      <c r="D2" s="2"/>
      <c r="E2" s="2"/>
      <c r="F2" s="2"/>
      <c r="G2" s="2"/>
      <c r="H2" s="2"/>
      <c r="I2" s="2"/>
      <c r="J2" s="2"/>
      <c r="K2" s="2"/>
      <c r="L2" s="2"/>
      <c r="M2" s="2"/>
      <c r="N2" s="2"/>
      <c r="O2" s="2"/>
      <c r="P2" s="2"/>
      <c r="Q2" s="2"/>
    </row>
    <row r="4" customFormat="false" ht="39.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row>
    <row r="5" customFormat="false" ht="96" hidden="false" customHeight="true" outlineLevel="0" collapsed="false">
      <c r="A5" s="4" t="n">
        <v>1</v>
      </c>
      <c r="B5" s="5" t="s">
        <v>19</v>
      </c>
      <c r="C5" s="4" t="n">
        <v>2017</v>
      </c>
      <c r="D5" s="6" t="n">
        <v>112120</v>
      </c>
      <c r="E5" s="6" t="n">
        <v>30805</v>
      </c>
      <c r="F5" s="7" t="s">
        <v>20</v>
      </c>
      <c r="G5" s="4" t="n">
        <v>14</v>
      </c>
      <c r="H5" s="7" t="s">
        <v>21</v>
      </c>
      <c r="I5" s="4" t="s">
        <v>22</v>
      </c>
      <c r="J5" s="7" t="s">
        <v>23</v>
      </c>
      <c r="K5" s="4" t="s">
        <v>24</v>
      </c>
      <c r="L5" s="7" t="s">
        <v>25</v>
      </c>
      <c r="M5" s="7" t="s">
        <v>26</v>
      </c>
      <c r="N5" s="7" t="s">
        <v>27</v>
      </c>
      <c r="O5" s="7" t="s">
        <v>28</v>
      </c>
      <c r="P5" s="8" t="s">
        <v>29</v>
      </c>
      <c r="Q5" s="7" t="s">
        <v>30</v>
      </c>
    </row>
    <row r="6" customFormat="false" ht="96" hidden="false" customHeight="true" outlineLevel="0" collapsed="false">
      <c r="A6" s="4" t="n">
        <v>2</v>
      </c>
      <c r="B6" s="5" t="s">
        <v>31</v>
      </c>
      <c r="C6" s="4" t="n">
        <v>2019</v>
      </c>
      <c r="D6" s="6" t="n">
        <v>224316</v>
      </c>
      <c r="E6" s="6" t="n">
        <v>65240</v>
      </c>
      <c r="F6" s="7" t="s">
        <v>32</v>
      </c>
      <c r="G6" s="4" t="n">
        <v>14</v>
      </c>
      <c r="H6" s="7" t="s">
        <v>33</v>
      </c>
      <c r="I6" s="4" t="s">
        <v>34</v>
      </c>
      <c r="J6" s="7" t="s">
        <v>35</v>
      </c>
      <c r="K6" s="4" t="s">
        <v>36</v>
      </c>
      <c r="L6" s="7" t="s">
        <v>37</v>
      </c>
      <c r="M6" s="7" t="s">
        <v>38</v>
      </c>
      <c r="N6" s="7" t="s">
        <v>39</v>
      </c>
      <c r="O6" s="7" t="s">
        <v>40</v>
      </c>
      <c r="P6" s="8" t="s">
        <v>41</v>
      </c>
      <c r="Q6" s="7" t="s">
        <v>42</v>
      </c>
    </row>
    <row r="7" customFormat="false" ht="96" hidden="false" customHeight="true" outlineLevel="0" collapsed="false">
      <c r="A7" s="4" t="n">
        <v>3</v>
      </c>
      <c r="B7" s="5" t="s">
        <v>43</v>
      </c>
      <c r="C7" s="4" t="n">
        <v>2022</v>
      </c>
      <c r="D7" s="6" t="n">
        <v>902</v>
      </c>
      <c r="E7" s="6" t="n">
        <v>700</v>
      </c>
      <c r="F7" s="7" t="s">
        <v>44</v>
      </c>
      <c r="G7" s="4" t="n">
        <v>10</v>
      </c>
      <c r="H7" s="7" t="s">
        <v>45</v>
      </c>
      <c r="I7" s="4" t="s">
        <v>22</v>
      </c>
      <c r="J7" s="7" t="s">
        <v>46</v>
      </c>
      <c r="K7" s="4" t="s">
        <v>47</v>
      </c>
      <c r="L7" s="7" t="s">
        <v>48</v>
      </c>
      <c r="M7" s="7" t="s">
        <v>49</v>
      </c>
      <c r="N7" s="7" t="s">
        <v>50</v>
      </c>
      <c r="O7" s="7" t="s">
        <v>51</v>
      </c>
      <c r="P7" s="8" t="s">
        <v>52</v>
      </c>
      <c r="Q7" s="7" t="s">
        <v>53</v>
      </c>
    </row>
    <row r="8" customFormat="false" ht="96" hidden="false" customHeight="true" outlineLevel="0" collapsed="false">
      <c r="A8" s="4" t="n">
        <v>4</v>
      </c>
      <c r="B8" s="5" t="s">
        <v>54</v>
      </c>
      <c r="C8" s="4" t="n">
        <v>2016</v>
      </c>
      <c r="D8" s="6" t="n">
        <v>7470</v>
      </c>
      <c r="E8" s="6" t="n">
        <v>3955</v>
      </c>
      <c r="F8" s="7" t="s">
        <v>55</v>
      </c>
      <c r="G8" s="4" t="s">
        <v>56</v>
      </c>
      <c r="H8" s="7" t="s">
        <v>57</v>
      </c>
      <c r="I8" s="4" t="s">
        <v>58</v>
      </c>
      <c r="J8" s="7" t="s">
        <v>59</v>
      </c>
      <c r="K8" s="4" t="s">
        <v>60</v>
      </c>
      <c r="L8" s="7" t="s">
        <v>61</v>
      </c>
      <c r="M8" s="7" t="s">
        <v>62</v>
      </c>
      <c r="N8" s="7" t="s">
        <v>63</v>
      </c>
      <c r="O8" s="7" t="s">
        <v>64</v>
      </c>
      <c r="P8" s="8" t="s">
        <v>65</v>
      </c>
      <c r="Q8" s="7" t="s">
        <v>66</v>
      </c>
    </row>
    <row r="9" customFormat="false" ht="96" hidden="false" customHeight="true" outlineLevel="0" collapsed="false">
      <c r="A9" s="4" t="n">
        <v>5</v>
      </c>
      <c r="B9" s="5" t="s">
        <v>67</v>
      </c>
      <c r="C9" s="4" t="n">
        <v>2022</v>
      </c>
      <c r="D9" s="6" t="n">
        <v>18000</v>
      </c>
      <c r="E9" s="6" t="s">
        <v>68</v>
      </c>
      <c r="F9" s="7" t="s">
        <v>69</v>
      </c>
      <c r="G9" s="4" t="s">
        <v>70</v>
      </c>
      <c r="H9" s="7" t="s">
        <v>71</v>
      </c>
      <c r="I9" s="4" t="s">
        <v>22</v>
      </c>
      <c r="J9" s="7" t="s">
        <v>72</v>
      </c>
      <c r="K9" s="4" t="s">
        <v>73</v>
      </c>
      <c r="L9" s="7" t="s">
        <v>74</v>
      </c>
      <c r="M9" s="7" t="s">
        <v>75</v>
      </c>
      <c r="N9" s="7" t="s">
        <v>76</v>
      </c>
      <c r="O9" s="7" t="s">
        <v>77</v>
      </c>
      <c r="P9" s="9" t="s">
        <v>78</v>
      </c>
      <c r="Q9" s="7" t="s">
        <v>79</v>
      </c>
    </row>
    <row r="10" customFormat="false" ht="96" hidden="false" customHeight="true" outlineLevel="0" collapsed="false">
      <c r="A10" s="4" t="n">
        <v>6</v>
      </c>
      <c r="B10" s="5" t="s">
        <v>80</v>
      </c>
      <c r="C10" s="4" t="n">
        <v>2019</v>
      </c>
      <c r="D10" s="6" t="n">
        <v>377110</v>
      </c>
      <c r="E10" s="6" t="n">
        <v>64588</v>
      </c>
      <c r="F10" s="7" t="s">
        <v>81</v>
      </c>
      <c r="G10" s="4" t="n">
        <v>14</v>
      </c>
      <c r="H10" s="7" t="s">
        <v>82</v>
      </c>
      <c r="I10" s="4" t="s">
        <v>83</v>
      </c>
      <c r="J10" s="7" t="s">
        <v>84</v>
      </c>
      <c r="K10" s="4" t="s">
        <v>85</v>
      </c>
      <c r="L10" s="7" t="s">
        <v>74</v>
      </c>
      <c r="M10" s="7" t="s">
        <v>86</v>
      </c>
      <c r="N10" s="7" t="s">
        <v>87</v>
      </c>
      <c r="O10" s="7" t="s">
        <v>88</v>
      </c>
      <c r="P10" s="10" t="s">
        <v>89</v>
      </c>
      <c r="Q10" s="7" t="s">
        <v>90</v>
      </c>
    </row>
    <row r="11" customFormat="false" ht="96" hidden="false" customHeight="true" outlineLevel="0" collapsed="false">
      <c r="A11" s="4" t="n">
        <v>7</v>
      </c>
      <c r="B11" s="5" t="s">
        <v>91</v>
      </c>
      <c r="C11" s="4" t="n">
        <v>2022</v>
      </c>
      <c r="D11" s="6" t="n">
        <v>1162</v>
      </c>
      <c r="E11" s="6" t="s">
        <v>92</v>
      </c>
      <c r="F11" s="7" t="s">
        <v>93</v>
      </c>
      <c r="G11" s="4" t="n">
        <v>8</v>
      </c>
      <c r="H11" s="7" t="s">
        <v>94</v>
      </c>
      <c r="I11" s="4" t="s">
        <v>95</v>
      </c>
      <c r="J11" s="7" t="s">
        <v>96</v>
      </c>
      <c r="K11" s="4" t="s">
        <v>22</v>
      </c>
      <c r="L11" s="7" t="s">
        <v>74</v>
      </c>
      <c r="M11" s="7" t="s">
        <v>97</v>
      </c>
      <c r="N11" s="7" t="s">
        <v>98</v>
      </c>
      <c r="O11" s="7" t="s">
        <v>99</v>
      </c>
      <c r="P11" s="9" t="s">
        <v>100</v>
      </c>
      <c r="Q11" s="7" t="s">
        <v>101</v>
      </c>
    </row>
    <row r="12" customFormat="false" ht="96" hidden="false" customHeight="true" outlineLevel="0" collapsed="false">
      <c r="A12" s="4" t="n">
        <v>8</v>
      </c>
      <c r="B12" s="5" t="s">
        <v>102</v>
      </c>
      <c r="C12" s="4" t="n">
        <v>2021</v>
      </c>
      <c r="D12" s="6" t="n">
        <v>242072</v>
      </c>
      <c r="E12" s="6" t="s">
        <v>92</v>
      </c>
      <c r="F12" s="7" t="s">
        <v>103</v>
      </c>
      <c r="G12" s="4" t="s">
        <v>104</v>
      </c>
      <c r="H12" s="7" t="s">
        <v>105</v>
      </c>
      <c r="I12" s="4" t="s">
        <v>106</v>
      </c>
      <c r="J12" s="7" t="s">
        <v>107</v>
      </c>
      <c r="K12" s="4" t="s">
        <v>22</v>
      </c>
      <c r="L12" s="7" t="s">
        <v>74</v>
      </c>
      <c r="M12" s="7" t="s">
        <v>108</v>
      </c>
      <c r="N12" s="7" t="s">
        <v>109</v>
      </c>
      <c r="O12" s="7" t="s">
        <v>110</v>
      </c>
      <c r="P12" s="9" t="s">
        <v>100</v>
      </c>
      <c r="Q12" s="7" t="s">
        <v>111</v>
      </c>
    </row>
    <row r="13" customFormat="false" ht="96" hidden="false" customHeight="true" outlineLevel="0" collapsed="false">
      <c r="A13" s="4" t="n">
        <v>9</v>
      </c>
      <c r="B13" s="5" t="s">
        <v>112</v>
      </c>
      <c r="C13" s="4" t="n">
        <v>2018</v>
      </c>
      <c r="D13" s="6" t="n">
        <v>26684</v>
      </c>
      <c r="E13" s="6" t="s">
        <v>113</v>
      </c>
      <c r="F13" s="7" t="s">
        <v>114</v>
      </c>
      <c r="G13" s="4" t="n">
        <v>3</v>
      </c>
      <c r="H13" s="7" t="s">
        <v>115</v>
      </c>
      <c r="I13" s="4" t="s">
        <v>22</v>
      </c>
      <c r="J13" s="7" t="s">
        <v>116</v>
      </c>
      <c r="K13" s="4" t="s">
        <v>117</v>
      </c>
      <c r="L13" s="7" t="s">
        <v>118</v>
      </c>
      <c r="M13" s="7" t="s">
        <v>119</v>
      </c>
      <c r="N13" s="7" t="s">
        <v>120</v>
      </c>
      <c r="O13" s="7" t="s">
        <v>121</v>
      </c>
      <c r="P13" s="9" t="s">
        <v>122</v>
      </c>
      <c r="Q13" s="7" t="s">
        <v>123</v>
      </c>
    </row>
    <row r="14" customFormat="false" ht="96" hidden="false" customHeight="true" outlineLevel="0" collapsed="false">
      <c r="A14" s="4" t="n">
        <v>10</v>
      </c>
      <c r="B14" s="5" t="s">
        <v>124</v>
      </c>
      <c r="C14" s="4" t="n">
        <v>2019</v>
      </c>
      <c r="D14" s="6" t="n">
        <v>12047</v>
      </c>
      <c r="E14" s="6" t="s">
        <v>68</v>
      </c>
      <c r="F14" s="7" t="s">
        <v>125</v>
      </c>
      <c r="G14" s="4" t="n">
        <v>1</v>
      </c>
      <c r="H14" s="7" t="s">
        <v>126</v>
      </c>
      <c r="I14" s="4" t="s">
        <v>22</v>
      </c>
      <c r="J14" s="7" t="s">
        <v>127</v>
      </c>
      <c r="K14" s="4" t="s">
        <v>128</v>
      </c>
      <c r="L14" s="7" t="s">
        <v>129</v>
      </c>
      <c r="M14" s="7" t="s">
        <v>130</v>
      </c>
      <c r="N14" s="7" t="s">
        <v>131</v>
      </c>
      <c r="O14" s="7" t="s">
        <v>132</v>
      </c>
      <c r="P14" s="9" t="s">
        <v>122</v>
      </c>
      <c r="Q14" s="7" t="s">
        <v>133</v>
      </c>
    </row>
    <row r="15" customFormat="false" ht="96" hidden="false" customHeight="true" outlineLevel="0" collapsed="false">
      <c r="A15" s="4" t="n">
        <v>11</v>
      </c>
      <c r="B15" s="5" t="s">
        <v>134</v>
      </c>
      <c r="C15" s="4" t="n">
        <v>2014</v>
      </c>
      <c r="D15" s="6" t="n">
        <v>800</v>
      </c>
      <c r="E15" s="6" t="n">
        <v>800</v>
      </c>
      <c r="F15" s="7" t="s">
        <v>135</v>
      </c>
      <c r="G15" s="4" t="n">
        <v>2</v>
      </c>
      <c r="H15" s="7" t="s">
        <v>136</v>
      </c>
      <c r="I15" s="4" t="s">
        <v>22</v>
      </c>
      <c r="J15" s="7" t="s">
        <v>137</v>
      </c>
      <c r="K15" s="4" t="s">
        <v>128</v>
      </c>
      <c r="L15" s="7" t="s">
        <v>138</v>
      </c>
      <c r="M15" s="7" t="s">
        <v>139</v>
      </c>
      <c r="N15" s="7" t="s">
        <v>140</v>
      </c>
      <c r="O15" s="7" t="s">
        <v>141</v>
      </c>
      <c r="P15" s="8" t="s">
        <v>142</v>
      </c>
      <c r="Q15" s="7" t="s">
        <v>143</v>
      </c>
    </row>
    <row r="16" customFormat="false" ht="96" hidden="false" customHeight="true" outlineLevel="0" collapsed="false">
      <c r="A16" s="4" t="n">
        <v>12</v>
      </c>
      <c r="B16" s="5" t="s">
        <v>144</v>
      </c>
      <c r="C16" s="4" t="n">
        <v>2000</v>
      </c>
      <c r="D16" s="6" t="n">
        <v>247</v>
      </c>
      <c r="E16" s="6" t="n">
        <v>247</v>
      </c>
      <c r="F16" s="7" t="s">
        <v>145</v>
      </c>
      <c r="G16" s="4" t="n">
        <v>2</v>
      </c>
      <c r="H16" s="7" t="s">
        <v>146</v>
      </c>
      <c r="I16" s="4" t="s">
        <v>22</v>
      </c>
      <c r="J16" s="7" t="s">
        <v>147</v>
      </c>
      <c r="K16" s="4" t="s">
        <v>36</v>
      </c>
      <c r="L16" s="7" t="s">
        <v>148</v>
      </c>
      <c r="M16" s="7" t="s">
        <v>149</v>
      </c>
      <c r="N16" s="7" t="s">
        <v>150</v>
      </c>
      <c r="O16" s="7" t="s">
        <v>151</v>
      </c>
      <c r="P16" s="8" t="s">
        <v>142</v>
      </c>
      <c r="Q16" s="7" t="s">
        <v>152</v>
      </c>
    </row>
    <row r="17" customFormat="false" ht="96" hidden="false" customHeight="true" outlineLevel="0" collapsed="false">
      <c r="A17" s="4" t="n">
        <v>13</v>
      </c>
      <c r="B17" s="5" t="s">
        <v>153</v>
      </c>
      <c r="C17" s="4" t="n">
        <v>2024</v>
      </c>
      <c r="D17" s="6" t="n">
        <v>657566</v>
      </c>
      <c r="E17" s="6" t="s">
        <v>154</v>
      </c>
      <c r="F17" s="7" t="s">
        <v>155</v>
      </c>
      <c r="G17" s="4" t="s">
        <v>156</v>
      </c>
      <c r="H17" s="7" t="s">
        <v>157</v>
      </c>
      <c r="I17" s="4" t="s">
        <v>22</v>
      </c>
      <c r="J17" s="7" t="s">
        <v>158</v>
      </c>
      <c r="K17" s="4" t="s">
        <v>22</v>
      </c>
      <c r="L17" s="7" t="s">
        <v>159</v>
      </c>
      <c r="M17" s="7" t="s">
        <v>160</v>
      </c>
      <c r="N17" s="7" t="s">
        <v>161</v>
      </c>
      <c r="O17" s="7" t="s">
        <v>162</v>
      </c>
      <c r="P17" s="8" t="s">
        <v>163</v>
      </c>
      <c r="Q17" s="7" t="s">
        <v>164</v>
      </c>
    </row>
    <row r="18" customFormat="false" ht="96" hidden="false" customHeight="true" outlineLevel="0" collapsed="false">
      <c r="A18" s="4" t="n">
        <v>14</v>
      </c>
      <c r="B18" s="5" t="s">
        <v>165</v>
      </c>
      <c r="C18" s="4" t="n">
        <v>2020</v>
      </c>
      <c r="D18" s="6" t="n">
        <v>160868</v>
      </c>
      <c r="E18" s="6" t="n">
        <v>67000</v>
      </c>
      <c r="F18" s="7" t="s">
        <v>166</v>
      </c>
      <c r="G18" s="4" t="s">
        <v>167</v>
      </c>
      <c r="H18" s="7" t="s">
        <v>168</v>
      </c>
      <c r="I18" s="4" t="s">
        <v>169</v>
      </c>
      <c r="J18" s="7" t="s">
        <v>170</v>
      </c>
      <c r="K18" s="4" t="s">
        <v>171</v>
      </c>
      <c r="L18" s="7" t="s">
        <v>172</v>
      </c>
      <c r="M18" s="7" t="s">
        <v>173</v>
      </c>
      <c r="N18" s="7" t="s">
        <v>174</v>
      </c>
      <c r="O18" s="7" t="s">
        <v>175</v>
      </c>
      <c r="P18" s="10" t="s">
        <v>176</v>
      </c>
      <c r="Q18" s="7" t="s">
        <v>177</v>
      </c>
    </row>
  </sheetData>
  <autoFilter ref="A4:Q18"/>
  <mergeCells count="2">
    <mergeCell ref="A1:Q1"/>
    <mergeCell ref="A2:Q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
    <col collapsed="false" customWidth="true" hidden="false" outlineLevel="0" max="9" min="3" style="0" width="15"/>
    <col collapsed="false" customWidth="true" hidden="false" outlineLevel="0" max="11" min="11" style="0" width="62"/>
  </cols>
  <sheetData>
    <row r="1" customFormat="false" ht="24" hidden="false" customHeight="true" outlineLevel="0" collapsed="false">
      <c r="A1" s="1" t="s">
        <v>178</v>
      </c>
      <c r="B1" s="1"/>
      <c r="C1" s="1"/>
      <c r="D1" s="1"/>
      <c r="E1" s="1"/>
      <c r="F1" s="1"/>
      <c r="G1" s="1"/>
      <c r="H1" s="1"/>
      <c r="I1" s="1"/>
    </row>
    <row r="2" customFormat="false" ht="33.75" hidden="false" customHeight="true" outlineLevel="0" collapsed="false">
      <c r="A2" s="11" t="s">
        <v>179</v>
      </c>
      <c r="B2" s="11"/>
      <c r="C2" s="11"/>
      <c r="D2" s="11"/>
      <c r="E2" s="11"/>
      <c r="F2" s="11"/>
      <c r="G2" s="11"/>
      <c r="H2" s="11"/>
      <c r="I2" s="11"/>
    </row>
    <row r="4" customFormat="false" ht="45.75" hidden="false" customHeight="true" outlineLevel="0" collapsed="false">
      <c r="A4" s="3" t="s">
        <v>180</v>
      </c>
      <c r="B4" s="3" t="s">
        <v>181</v>
      </c>
      <c r="C4" s="3" t="s">
        <v>19</v>
      </c>
      <c r="D4" s="3" t="s">
        <v>31</v>
      </c>
      <c r="E4" s="3" t="s">
        <v>182</v>
      </c>
      <c r="F4" s="3" t="s">
        <v>67</v>
      </c>
      <c r="G4" s="3" t="s">
        <v>183</v>
      </c>
      <c r="H4" s="3" t="s">
        <v>184</v>
      </c>
      <c r="I4" s="3" t="s">
        <v>165</v>
      </c>
    </row>
    <row r="5" customFormat="false" ht="30" hidden="false" customHeight="true" outlineLevel="0" collapsed="false">
      <c r="A5" s="12" t="s">
        <v>185</v>
      </c>
      <c r="B5" s="13" t="n">
        <v>0.15</v>
      </c>
      <c r="C5" s="14" t="n">
        <v>5</v>
      </c>
      <c r="D5" s="14" t="n">
        <v>2</v>
      </c>
      <c r="E5" s="14" t="n">
        <v>2</v>
      </c>
      <c r="F5" s="14" t="n">
        <v>2</v>
      </c>
      <c r="G5" s="14" t="n">
        <v>1</v>
      </c>
      <c r="H5" s="14" t="n">
        <v>5</v>
      </c>
      <c r="I5" s="14" t="n">
        <v>1</v>
      </c>
      <c r="K5" s="15" t="s">
        <v>186</v>
      </c>
    </row>
    <row r="6" customFormat="false" ht="30" hidden="false" customHeight="true" outlineLevel="0" collapsed="false">
      <c r="A6" s="12" t="s">
        <v>187</v>
      </c>
      <c r="B6" s="13" t="n">
        <v>0.15</v>
      </c>
      <c r="C6" s="14" t="n">
        <v>5</v>
      </c>
      <c r="D6" s="14" t="n">
        <v>5</v>
      </c>
      <c r="E6" s="14" t="n">
        <v>5</v>
      </c>
      <c r="F6" s="14" t="n">
        <v>3</v>
      </c>
      <c r="G6" s="14" t="n">
        <v>5</v>
      </c>
      <c r="H6" s="14" t="n">
        <v>1</v>
      </c>
      <c r="I6" s="14" t="n">
        <v>5</v>
      </c>
      <c r="K6" s="15" t="s">
        <v>188</v>
      </c>
    </row>
    <row r="7" customFormat="false" ht="30" hidden="false" customHeight="true" outlineLevel="0" collapsed="false">
      <c r="A7" s="12" t="s">
        <v>189</v>
      </c>
      <c r="B7" s="13" t="n">
        <v>0.15</v>
      </c>
      <c r="C7" s="14" t="n">
        <v>2</v>
      </c>
      <c r="D7" s="14" t="n">
        <v>4</v>
      </c>
      <c r="E7" s="14" t="n">
        <v>5</v>
      </c>
      <c r="F7" s="14" t="n">
        <v>5</v>
      </c>
      <c r="G7" s="14" t="n">
        <v>3</v>
      </c>
      <c r="H7" s="14" t="n">
        <v>3</v>
      </c>
      <c r="I7" s="14" t="n">
        <v>3</v>
      </c>
      <c r="K7" s="15" t="s">
        <v>190</v>
      </c>
    </row>
    <row r="8" customFormat="false" ht="30" hidden="false" customHeight="true" outlineLevel="0" collapsed="false">
      <c r="A8" s="12" t="s">
        <v>191</v>
      </c>
      <c r="B8" s="13" t="n">
        <v>0.25</v>
      </c>
      <c r="C8" s="14" t="n">
        <v>3</v>
      </c>
      <c r="D8" s="14" t="n">
        <v>0</v>
      </c>
      <c r="E8" s="14" t="n">
        <v>5</v>
      </c>
      <c r="F8" s="14" t="n">
        <v>4</v>
      </c>
      <c r="G8" s="14" t="n">
        <v>0</v>
      </c>
      <c r="H8" s="14" t="n">
        <v>0</v>
      </c>
      <c r="I8" s="14" t="n">
        <v>0</v>
      </c>
      <c r="K8" s="15" t="s">
        <v>192</v>
      </c>
    </row>
    <row r="9" customFormat="false" ht="30" hidden="false" customHeight="true" outlineLevel="0" collapsed="false">
      <c r="A9" s="12" t="s">
        <v>193</v>
      </c>
      <c r="B9" s="13" t="n">
        <v>0.15</v>
      </c>
      <c r="C9" s="14" t="n">
        <v>4</v>
      </c>
      <c r="D9" s="14" t="n">
        <v>5</v>
      </c>
      <c r="E9" s="14" t="n">
        <v>5</v>
      </c>
      <c r="F9" s="14" t="n">
        <v>2</v>
      </c>
      <c r="G9" s="14" t="n">
        <v>4</v>
      </c>
      <c r="H9" s="14" t="n">
        <v>5</v>
      </c>
      <c r="I9" s="14" t="n">
        <v>1</v>
      </c>
      <c r="K9" s="15" t="s">
        <v>194</v>
      </c>
    </row>
    <row r="10" customFormat="false" ht="30" hidden="false" customHeight="true" outlineLevel="0" collapsed="false">
      <c r="A10" s="12" t="s">
        <v>195</v>
      </c>
      <c r="B10" s="13" t="n">
        <v>0.15</v>
      </c>
      <c r="C10" s="14" t="n">
        <v>0</v>
      </c>
      <c r="D10" s="14" t="n">
        <v>0</v>
      </c>
      <c r="E10" s="14" t="n">
        <v>0</v>
      </c>
      <c r="F10" s="14" t="n">
        <v>0</v>
      </c>
      <c r="G10" s="14" t="n">
        <v>5</v>
      </c>
      <c r="H10" s="14" t="n">
        <v>5</v>
      </c>
      <c r="I10" s="14" t="n">
        <v>3</v>
      </c>
      <c r="K10" s="15" t="s">
        <v>196</v>
      </c>
    </row>
    <row r="11" customFormat="false" ht="24" hidden="false" customHeight="true" outlineLevel="0" collapsed="false">
      <c r="A11" s="16" t="s">
        <v>197</v>
      </c>
      <c r="B11" s="17" t="n">
        <f aca="false">SUM(B5:B10)</f>
        <v>1</v>
      </c>
      <c r="C11" s="18" t="n">
        <f aca="false">SUMPRODUCT($B$5:$B$10,C5:C10)</f>
        <v>3.15</v>
      </c>
      <c r="D11" s="18" t="n">
        <f aca="false">SUMPRODUCT($B$5:$B$10,D5:D10)</f>
        <v>2.4</v>
      </c>
      <c r="E11" s="18" t="n">
        <f aca="false">SUMPRODUCT($B$5:$B$10,E5:E10)</f>
        <v>3.8</v>
      </c>
      <c r="F11" s="18" t="n">
        <f aca="false">SUMPRODUCT($B$5:$B$10,F5:F10)</f>
        <v>2.8</v>
      </c>
      <c r="G11" s="18" t="n">
        <f aca="false">SUMPRODUCT($B$5:$B$10,G5:G10)</f>
        <v>2.7</v>
      </c>
      <c r="H11" s="18" t="n">
        <f aca="false">SUMPRODUCT($B$5:$B$10,H5:H10)</f>
        <v>2.85</v>
      </c>
      <c r="I11" s="18" t="n">
        <f aca="false">SUMPRODUCT($B$5:$B$10,I5:I10)</f>
        <v>1.95</v>
      </c>
    </row>
    <row r="12" customFormat="false" ht="15" hidden="false" customHeight="false" outlineLevel="0" collapsed="false">
      <c r="A12" s="19" t="s">
        <v>198</v>
      </c>
      <c r="C12" s="20" t="n">
        <f aca="false">RANK(C11,$C$11:$I$11,0)</f>
        <v>2</v>
      </c>
      <c r="D12" s="20" t="n">
        <f aca="false">RANK(D11,$C$11:$I$11,0)</f>
        <v>6</v>
      </c>
      <c r="E12" s="20" t="n">
        <f aca="false">RANK(E11,$C$11:$I$11,0)</f>
        <v>1</v>
      </c>
      <c r="F12" s="20" t="n">
        <f aca="false">RANK(F11,$C$11:$I$11,0)</f>
        <v>4</v>
      </c>
      <c r="G12" s="20" t="n">
        <f aca="false">RANK(G11,$C$11:$I$11,0)</f>
        <v>5</v>
      </c>
      <c r="H12" s="20" t="n">
        <f aca="false">RANK(H11,$C$11:$I$11,0)</f>
        <v>3</v>
      </c>
      <c r="I12" s="20" t="n">
        <f aca="false">RANK(I11,$C$11:$I$11,0)</f>
        <v>7</v>
      </c>
    </row>
    <row r="14" customFormat="false" ht="45.75" hidden="false" customHeight="true" outlineLevel="0" collapsed="false">
      <c r="A14" s="21" t="s">
        <v>199</v>
      </c>
      <c r="B14" s="21"/>
      <c r="C14" s="21"/>
      <c r="D14" s="21"/>
      <c r="E14" s="21"/>
      <c r="F14" s="21"/>
      <c r="G14" s="21"/>
      <c r="H14" s="21"/>
      <c r="I14" s="21"/>
    </row>
  </sheetData>
  <mergeCells count="3">
    <mergeCell ref="A1:I1"/>
    <mergeCell ref="A2:I2"/>
    <mergeCell ref="A14:I14"/>
  </mergeCells>
  <dataValidations count="1">
    <dataValidation allowBlank="false" errorStyle="stop" operator="between" showDropDown="false" showErrorMessage="false" showInputMessage="false" sqref="C5:I10" type="whole">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08"/>
  </cols>
  <sheetData>
    <row r="1" customFormat="false" ht="25.5" hidden="false" customHeight="true" outlineLevel="0" collapsed="false">
      <c r="A1" s="1" t="s">
        <v>200</v>
      </c>
      <c r="B1" s="1"/>
      <c r="C1" s="1"/>
    </row>
    <row r="3" customFormat="false" ht="15.75" hidden="false" customHeight="true" outlineLevel="0" collapsed="false">
      <c r="A3" s="22"/>
      <c r="B3" s="23" t="s">
        <v>201</v>
      </c>
      <c r="C3" s="24" t="s">
        <v>202</v>
      </c>
    </row>
    <row r="4" customFormat="false" ht="51.75" hidden="false" customHeight="true" outlineLevel="0" collapsed="false">
      <c r="A4" s="22"/>
      <c r="C4" s="24"/>
    </row>
    <row r="6" customFormat="false" ht="15.75" hidden="false" customHeight="true" outlineLevel="0" collapsed="false">
      <c r="A6" s="25"/>
      <c r="B6" s="23" t="s">
        <v>203</v>
      </c>
      <c r="C6" s="24" t="s">
        <v>204</v>
      </c>
    </row>
    <row r="7" customFormat="false" ht="51.75" hidden="false" customHeight="true" outlineLevel="0" collapsed="false">
      <c r="A7" s="25"/>
      <c r="B7" s="26" t="s">
        <v>205</v>
      </c>
      <c r="C7" s="24"/>
    </row>
    <row r="9" customFormat="false" ht="15.75" hidden="false" customHeight="true" outlineLevel="0" collapsed="false">
      <c r="A9" s="25"/>
      <c r="B9" s="23" t="s">
        <v>206</v>
      </c>
      <c r="C9" s="24" t="s">
        <v>207</v>
      </c>
    </row>
    <row r="10" customFormat="false" ht="51.75" hidden="false" customHeight="true" outlineLevel="0" collapsed="false">
      <c r="A10" s="25"/>
      <c r="B10" s="26" t="s">
        <v>208</v>
      </c>
      <c r="C10" s="24"/>
    </row>
    <row r="12" customFormat="false" ht="15.75" hidden="false" customHeight="true" outlineLevel="0" collapsed="false">
      <c r="A12" s="25"/>
      <c r="B12" s="23" t="s">
        <v>209</v>
      </c>
      <c r="C12" s="24" t="s">
        <v>210</v>
      </c>
    </row>
    <row r="13" customFormat="false" ht="51.75" hidden="false" customHeight="true" outlineLevel="0" collapsed="false">
      <c r="A13" s="25"/>
      <c r="B13" s="26" t="s">
        <v>211</v>
      </c>
      <c r="C13" s="24"/>
    </row>
    <row r="15" customFormat="false" ht="15.75" hidden="false" customHeight="true" outlineLevel="0" collapsed="false">
      <c r="A15" s="25"/>
      <c r="B15" s="23" t="s">
        <v>212</v>
      </c>
      <c r="C15" s="24" t="s">
        <v>213</v>
      </c>
    </row>
    <row r="16" customFormat="false" ht="51.75" hidden="false" customHeight="true" outlineLevel="0" collapsed="false">
      <c r="A16" s="25"/>
      <c r="B16" s="26" t="s">
        <v>184</v>
      </c>
      <c r="C16" s="24"/>
    </row>
    <row r="18" customFormat="false" ht="15.75" hidden="false" customHeight="true" outlineLevel="0" collapsed="false">
      <c r="A18" s="22"/>
      <c r="B18" s="23" t="s">
        <v>214</v>
      </c>
      <c r="C18" s="24" t="s">
        <v>215</v>
      </c>
    </row>
    <row r="19" customFormat="false" ht="51.75" hidden="false" customHeight="true" outlineLevel="0" collapsed="false">
      <c r="A19" s="22"/>
      <c r="B19" s="26" t="s">
        <v>216</v>
      </c>
      <c r="C19" s="24"/>
    </row>
    <row r="21" customFormat="false" ht="15.75" hidden="false" customHeight="true" outlineLevel="0" collapsed="false">
      <c r="A21" s="22"/>
      <c r="B21" s="23" t="s">
        <v>217</v>
      </c>
      <c r="C21" s="24" t="s">
        <v>218</v>
      </c>
    </row>
    <row r="22" customFormat="false" ht="51.75" hidden="false" customHeight="true" outlineLevel="0" collapsed="false">
      <c r="A22" s="22"/>
      <c r="C22" s="24"/>
    </row>
    <row r="24" customFormat="false" ht="15.75" hidden="false" customHeight="true" outlineLevel="0" collapsed="false">
      <c r="A24" s="22"/>
      <c r="B24" s="23" t="s">
        <v>219</v>
      </c>
      <c r="C24" s="24" t="s">
        <v>220</v>
      </c>
    </row>
    <row r="25" customFormat="false" ht="51.75" hidden="false" customHeight="true" outlineLevel="0" collapsed="false">
      <c r="A25" s="22"/>
      <c r="C25" s="24"/>
    </row>
  </sheetData>
  <mergeCells count="17">
    <mergeCell ref="A1:C1"/>
    <mergeCell ref="A3:A4"/>
    <mergeCell ref="C3:C4"/>
    <mergeCell ref="A6:A7"/>
    <mergeCell ref="C6:C7"/>
    <mergeCell ref="A9:A10"/>
    <mergeCell ref="C9:C10"/>
    <mergeCell ref="A12:A13"/>
    <mergeCell ref="C12:C13"/>
    <mergeCell ref="A15:A16"/>
    <mergeCell ref="C15:C16"/>
    <mergeCell ref="A18:A19"/>
    <mergeCell ref="C18:C19"/>
    <mergeCell ref="A21:A22"/>
    <mergeCell ref="C21:C22"/>
    <mergeCell ref="A24:A25"/>
    <mergeCell ref="C24: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84"/>
    <col collapsed="false" customWidth="true" hidden="false" outlineLevel="0" max="4" min="4" style="0" width="46"/>
  </cols>
  <sheetData>
    <row r="1" customFormat="false" ht="25.5" hidden="false" customHeight="true" outlineLevel="0" collapsed="false">
      <c r="A1" s="1" t="s">
        <v>221</v>
      </c>
      <c r="B1" s="1"/>
      <c r="C1" s="1"/>
      <c r="D1" s="1"/>
    </row>
    <row r="3" customFormat="false" ht="15" hidden="false" customHeight="false" outlineLevel="0" collapsed="false">
      <c r="A3" s="27" t="s">
        <v>2</v>
      </c>
      <c r="B3" s="27" t="s">
        <v>222</v>
      </c>
      <c r="C3" s="27" t="s">
        <v>223</v>
      </c>
      <c r="D3" s="27" t="s">
        <v>224</v>
      </c>
    </row>
    <row r="4" customFormat="false" ht="45.75" hidden="false" customHeight="true" outlineLevel="0" collapsed="false">
      <c r="A4" s="28" t="n">
        <v>1</v>
      </c>
      <c r="B4" s="5" t="s">
        <v>225</v>
      </c>
      <c r="C4" s="7" t="s">
        <v>226</v>
      </c>
      <c r="D4" s="29" t="s">
        <v>227</v>
      </c>
    </row>
    <row r="5" customFormat="false" ht="45.75" hidden="false" customHeight="true" outlineLevel="0" collapsed="false">
      <c r="A5" s="28" t="n">
        <v>2</v>
      </c>
      <c r="B5" s="5" t="s">
        <v>228</v>
      </c>
      <c r="C5" s="7" t="s">
        <v>229</v>
      </c>
      <c r="D5" s="29" t="s">
        <v>230</v>
      </c>
    </row>
    <row r="6" customFormat="false" ht="45.75" hidden="false" customHeight="true" outlineLevel="0" collapsed="false">
      <c r="A6" s="28" t="n">
        <v>3</v>
      </c>
      <c r="B6" s="5" t="s">
        <v>231</v>
      </c>
      <c r="C6" s="7" t="s">
        <v>232</v>
      </c>
      <c r="D6" s="29" t="s">
        <v>233</v>
      </c>
    </row>
    <row r="7" customFormat="false" ht="45.75" hidden="false" customHeight="true" outlineLevel="0" collapsed="false">
      <c r="A7" s="28" t="n">
        <v>4</v>
      </c>
      <c r="B7" s="5" t="s">
        <v>234</v>
      </c>
      <c r="C7" s="7" t="s">
        <v>235</v>
      </c>
      <c r="D7" s="29" t="s">
        <v>236</v>
      </c>
    </row>
    <row r="8" customFormat="false" ht="45.75" hidden="false" customHeight="true" outlineLevel="0" collapsed="false">
      <c r="A8" s="28" t="n">
        <v>5</v>
      </c>
      <c r="B8" s="5" t="s">
        <v>237</v>
      </c>
      <c r="C8" s="7" t="s">
        <v>238</v>
      </c>
      <c r="D8" s="29" t="s">
        <v>239</v>
      </c>
    </row>
    <row r="9" customFormat="false" ht="45.75" hidden="false" customHeight="true" outlineLevel="0" collapsed="false">
      <c r="A9" s="28" t="n">
        <v>6</v>
      </c>
      <c r="B9" s="5" t="s">
        <v>240</v>
      </c>
      <c r="C9" s="7" t="s">
        <v>241</v>
      </c>
      <c r="D9" s="29" t="s">
        <v>242</v>
      </c>
    </row>
    <row r="10" customFormat="false" ht="45.75" hidden="false" customHeight="true" outlineLevel="0" collapsed="false">
      <c r="A10" s="28" t="n">
        <v>7</v>
      </c>
      <c r="B10" s="5" t="s">
        <v>243</v>
      </c>
      <c r="C10" s="7" t="s">
        <v>244</v>
      </c>
      <c r="D10" s="29" t="s">
        <v>245</v>
      </c>
    </row>
    <row r="11" customFormat="false" ht="45.75" hidden="false" customHeight="true" outlineLevel="0" collapsed="false">
      <c r="A11" s="28" t="n">
        <v>8</v>
      </c>
      <c r="B11" s="5" t="s">
        <v>246</v>
      </c>
      <c r="C11" s="7" t="s">
        <v>247</v>
      </c>
      <c r="D11" s="29" t="s">
        <v>248</v>
      </c>
    </row>
    <row r="12" customFormat="false" ht="45.75" hidden="false" customHeight="true" outlineLevel="0" collapsed="false">
      <c r="A12" s="28" t="n">
        <v>9</v>
      </c>
      <c r="B12" s="5" t="s">
        <v>249</v>
      </c>
      <c r="C12" s="7" t="s">
        <v>250</v>
      </c>
      <c r="D12" s="29" t="s">
        <v>251</v>
      </c>
    </row>
    <row r="13" customFormat="false" ht="45.75" hidden="false" customHeight="true" outlineLevel="0" collapsed="false">
      <c r="A13" s="28" t="n">
        <v>10</v>
      </c>
      <c r="B13" s="5" t="s">
        <v>252</v>
      </c>
      <c r="C13" s="7" t="s">
        <v>253</v>
      </c>
      <c r="D13" s="29" t="s">
        <v>254</v>
      </c>
    </row>
    <row r="14" customFormat="false" ht="45.75" hidden="false" customHeight="true" outlineLevel="0" collapsed="false">
      <c r="A14" s="28" t="n">
        <v>11</v>
      </c>
      <c r="B14" s="5" t="s">
        <v>255</v>
      </c>
      <c r="C14" s="7" t="s">
        <v>256</v>
      </c>
      <c r="D14" s="29" t="s">
        <v>257</v>
      </c>
    </row>
    <row r="16" customFormat="false" ht="15" hidden="false" customHeight="false" outlineLevel="0" collapsed="false">
      <c r="A16" s="30" t="s">
        <v>258</v>
      </c>
      <c r="B16" s="30"/>
      <c r="C16" s="30"/>
      <c r="D16" s="30"/>
    </row>
    <row r="17" customFormat="false" ht="25.5" hidden="false" customHeight="true" outlineLevel="0" collapsed="false">
      <c r="B17" s="31" t="s">
        <v>259</v>
      </c>
      <c r="C17" s="31"/>
      <c r="D17" s="31"/>
    </row>
    <row r="18" customFormat="false" ht="25.5" hidden="false" customHeight="true" outlineLevel="0" collapsed="false">
      <c r="B18" s="31" t="s">
        <v>260</v>
      </c>
      <c r="C18" s="31"/>
      <c r="D18" s="31"/>
    </row>
    <row r="19" customFormat="false" ht="25.5" hidden="false" customHeight="true" outlineLevel="0" collapsed="false">
      <c r="B19" s="31" t="s">
        <v>261</v>
      </c>
      <c r="C19" s="31"/>
      <c r="D19" s="31"/>
    </row>
    <row r="20" customFormat="false" ht="25.5" hidden="false" customHeight="true" outlineLevel="0" collapsed="false">
      <c r="B20" s="31" t="s">
        <v>262</v>
      </c>
      <c r="C20" s="31"/>
      <c r="D20" s="31"/>
    </row>
    <row r="21" customFormat="false" ht="25.5" hidden="false" customHeight="true" outlineLevel="0" collapsed="false">
      <c r="B21" s="31" t="s">
        <v>263</v>
      </c>
      <c r="C21" s="31"/>
      <c r="D21" s="31"/>
    </row>
    <row r="22" customFormat="false" ht="25.5" hidden="false" customHeight="true" outlineLevel="0" collapsed="false">
      <c r="B22" s="31" t="s">
        <v>264</v>
      </c>
      <c r="C22" s="31"/>
      <c r="D22" s="31"/>
    </row>
    <row r="23" customFormat="false" ht="25.5" hidden="false" customHeight="true" outlineLevel="0" collapsed="false">
      <c r="B23" s="31" t="s">
        <v>265</v>
      </c>
      <c r="C23" s="31"/>
      <c r="D23" s="31"/>
    </row>
    <row r="24" customFormat="false" ht="25.5" hidden="false" customHeight="true" outlineLevel="0" collapsed="false">
      <c r="B24" s="31" t="s">
        <v>266</v>
      </c>
      <c r="C24" s="31"/>
      <c r="D24" s="31"/>
    </row>
    <row r="26" customFormat="false" ht="43.5" hidden="false" customHeight="true" outlineLevel="0" collapsed="false">
      <c r="B26" s="32" t="s">
        <v>267</v>
      </c>
      <c r="C26" s="32"/>
      <c r="D26" s="32"/>
    </row>
  </sheetData>
  <mergeCells count="11">
    <mergeCell ref="A1:D1"/>
    <mergeCell ref="A16:D16"/>
    <mergeCell ref="B17:D17"/>
    <mergeCell ref="B18:D18"/>
    <mergeCell ref="B19:D19"/>
    <mergeCell ref="B20:D20"/>
    <mergeCell ref="B21:D21"/>
    <mergeCell ref="B22:D22"/>
    <mergeCell ref="B23:D23"/>
    <mergeCell ref="B24:D24"/>
    <mergeCell ref="B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2026-08-24T17:37:42Z</dcterms:created>
  <dc:creator>openpyxl</dc:creator>
  <dc:description/>
  <dc:language>en-US</dc:language>
  <cp:lastModifiedBy/>
  <dcterms:modified xsi:type="dcterms:W3CDTF">2026-08-24T17:37:42Z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